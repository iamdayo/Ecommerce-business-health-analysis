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ooo\Documents\DATA ANAYSIS\Ecommerce-business-health-analysis\Outputs and Results\results\"/>
    </mc:Choice>
  </mc:AlternateContent>
  <xr:revisionPtr revIDLastSave="0" documentId="8_{125802AC-8515-4927-A179-CCF7133AB5A4}" xr6:coauthVersionLast="47" xr6:coauthVersionMax="47" xr10:uidLastSave="{00000000-0000-0000-0000-000000000000}"/>
  <bookViews>
    <workbookView xWindow="-108" yWindow="-108" windowWidth="23256" windowHeight="12456" xr2:uid="{03CD14B8-944C-4945-85F9-EA0D41C0212D}"/>
  </bookViews>
  <sheets>
    <sheet name="analysis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<sst xmlns="http://schemas.openxmlformats.org/spreadsheetml/2006/main" count="95" uniqueCount="75">
  <si>
    <t>months</t>
  </si>
  <si>
    <t>avg_value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</si>
  <si>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</si>
  <si>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</si>
  <si>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</si>
  <si>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</si>
  <si>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</si>
  <si>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</si>
  <si>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</si>
  <si>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</si>
  <si>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</si>
  <si>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</si>
  <si>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</si>
  <si>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</si>
  <si>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country</t>
  </si>
  <si>
    <t>total_revenue</t>
  </si>
  <si>
    <t>United States</t>
  </si>
  <si>
    <t>United Kingdom</t>
  </si>
  <si>
    <t>Canada</t>
  </si>
  <si>
    <t>Australia</t>
  </si>
  <si>
    <t>Germany</t>
  </si>
  <si>
    <t>France</t>
  </si>
  <si>
    <t>Netherlands</t>
  </si>
  <si>
    <t>Spain</t>
  </si>
  <si>
    <t>Philippines</t>
  </si>
  <si>
    <t>Brazil</t>
  </si>
  <si>
    <t>prcnt_rev</t>
  </si>
  <si>
    <t>region</t>
  </si>
  <si>
    <t>EU</t>
  </si>
  <si>
    <t>NA</t>
  </si>
  <si>
    <t>APAC</t>
  </si>
  <si>
    <t>LATAM</t>
  </si>
  <si>
    <t>total_orders</t>
  </si>
  <si>
    <t>avg_order_value</t>
  </si>
  <si>
    <t>channel</t>
  </si>
  <si>
    <t>revenue</t>
  </si>
  <si>
    <t>prcnt_of_revenue</t>
  </si>
  <si>
    <t>Website</t>
  </si>
  <si>
    <t>Direct Sales</t>
  </si>
  <si>
    <t>Reseller</t>
  </si>
  <si>
    <t>Marketplace</t>
  </si>
  <si>
    <t>Partner</t>
  </si>
  <si>
    <t>discount_code</t>
  </si>
  <si>
    <t>times_used</t>
  </si>
  <si>
    <t>BFCM20</t>
  </si>
  <si>
    <t>STUDENT20</t>
  </si>
  <si>
    <t>STUDENT15</t>
  </si>
  <si>
    <t>LOYALTY15</t>
  </si>
  <si>
    <t>EDU15</t>
  </si>
  <si>
    <t>EDU20</t>
  </si>
  <si>
    <t>SALE15</t>
  </si>
  <si>
    <t>STUDENT10</t>
  </si>
  <si>
    <t>NEWCUSTOMER10</t>
  </si>
  <si>
    <t>EDU10</t>
  </si>
  <si>
    <t>WELCOME10</t>
  </si>
  <si>
    <t>BFCM10</t>
  </si>
  <si>
    <t>SAVE5</t>
  </si>
  <si>
    <t>revenue_generated_per_discount_use</t>
  </si>
  <si>
    <t>Revenue from Discount ($)</t>
  </si>
  <si>
    <t>Discount Value ($)</t>
  </si>
  <si>
    <t>customer_class</t>
  </si>
  <si>
    <t>total_class</t>
  </si>
  <si>
    <t>Champion</t>
  </si>
  <si>
    <t>Loyal</t>
  </si>
  <si>
    <t>New Customer</t>
  </si>
  <si>
    <t>Potential</t>
  </si>
  <si>
    <t>Lost</t>
  </si>
  <si>
    <t>At Risk</t>
  </si>
  <si>
    <t>AOV per Month</t>
  </si>
  <si>
    <t>Revenue Per Country</t>
  </si>
  <si>
    <t>Revenue Contribution Per Country</t>
  </si>
  <si>
    <t>Revenue Per Region</t>
  </si>
  <si>
    <t>Revenue Per Channel</t>
  </si>
  <si>
    <t>Discount Code Analysis</t>
  </si>
  <si>
    <t>RFM Customer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</si>
</sst>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44" fontId="0" fillId="0" borderId="1" xfId="1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0" fillId="0" borderId="9" xfId="0" applyBorder="1"/>
    <xf numFmtId="44" fontId="0" fillId="0" borderId="5" xfId="1" applyFont="1" applyBorder="1"/>
    <xf numFmtId="44" fontId="0" fillId="0" borderId="7" xfId="1" applyFont="1" applyBorder="1"/>
    <xf numFmtId="44" fontId="0" fillId="0" borderId="9" xfId="1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What is each</a:t>
            </a:r>
            <a:r>
              <a:rPr lang="en-US" sz="1200" baseline="0"/>
              <a:t> Region Contributinng to the Revenue?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analysis!$M$4</c:f>
              <c:strCache>
                <c:ptCount val="1"/>
                <c:pt idx="0">
                  <c:v>prcnt_rev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37-4A3B-8C00-AD19F47982EB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37-4A3B-8C00-AD19F47982EB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37-4A3B-8C00-AD19F47982EB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37-4A3B-8C00-AD19F47982EB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analysis!$K$5:$K$8</c:f>
              <c:strCache>
                <c:ptCount val="4"/>
                <c:pt idx="0">
                  <c:v>EU</c:v>
                </c:pt>
                <c:pt idx="1">
                  <c:v>NA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analysis!$M$5:$M$8</c:f>
              <c:numCache>
                <c:formatCode>General</c:formatCode>
                <c:ptCount val="4"/>
                <c:pt idx="0">
                  <c:v>0.43009999999999998</c:v>
                </c:pt>
                <c:pt idx="1">
                  <c:v>0.36979999999999996</c:v>
                </c:pt>
                <c:pt idx="2">
                  <c:v>0.1532</c:v>
                </c:pt>
                <c:pt idx="3">
                  <c:v>4.6900000000000004E-2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37-4A3B-8C00-AD19F4798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What is the Average</a:t>
            </a:r>
            <a:r>
              <a:rPr lang="en-US" sz="1200" baseline="0"/>
              <a:t> Order Value Per Region?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analysis!$R$4</c:f>
              <c:strCache>
                <c:ptCount val="1"/>
                <c:pt idx="0">
                  <c:v>avg_order_value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&gt;=1000000]&quot;$&quot;#.00,,&quot;M&quot;;[&gt;=1000]&quot;$&quot;#.00,&quot;k&quot;;&quot;$&quot;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analysis!$O$5:$O$8</c:f>
              <c:strCache>
                <c:ptCount val="4"/>
                <c:pt idx="0">
                  <c:v>NA</c:v>
                </c:pt>
                <c:pt idx="1">
                  <c:v>APAC</c:v>
                </c:pt>
                <c:pt idx="2">
                  <c:v>EU</c:v>
                </c:pt>
                <c:pt idx="3">
                  <c:v>LATAM</c:v>
                </c:pt>
              </c:strCache>
            </c:strRef>
          </c:cat>
          <c:val>
            <c:numRef>
              <c:f>analysis!$R$5:$R$8</c:f>
              <c:numCache>
                <c:formatCode>General</c:formatCode>
                <c:ptCount val="4"/>
                <c:pt idx="0">
                  <c:v>601.21</c:v>
                </c:pt>
                <c:pt idx="1">
                  <c:v>667.38</c:v>
                </c:pt>
                <c:pt idx="2">
                  <c:v>719.15</c:v>
                </c:pt>
                <c:pt idx="3">
                  <c:v>719.43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3-4B64-B7F1-30ECED8CC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6976752"/>
        <c:axId val="1556994992"/>
      </c:barChart>
      <c:catAx>
        <c:axId val="1556976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94992"/>
        <c:crosses val="autoZero"/>
        <c:auto val="1"/>
        <c:lblAlgn val="ctr"/>
        <c:lblOffset val="100"/>
        <c:noMultiLvlLbl val="0"/>
      </c:catAx>
      <c:valAx>
        <c:axId val="155699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697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is each Channel Contributing to the Revenue?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analysis!$V$4</c:f>
              <c:strCache>
                <c:ptCount val="1"/>
                <c:pt idx="0">
                  <c:v>prcnt_of_revenue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0C-4AD0-AE22-39FB5EB270C2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0C-4AD0-AE22-39FB5EB270C2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0C-4AD0-AE22-39FB5EB270C2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0C-4AD0-AE22-39FB5EB270C2}"/>
              </c:ext>
            </c:extLst>
          </c:dPt>
          <c:dPt>
            <c:idx val="4"/>
            <c:bubble3D val="0"/>
            <c:spPr>
              <a:solidFill>
                <a:schemeClr val="tx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A0C-4AD0-AE22-39FB5EB270C2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analysis!$T$5:$T$9</c:f>
              <c:strCache>
                <c:ptCount val="5"/>
                <c:pt idx="0">
                  <c:v>Partner</c:v>
                </c:pt>
                <c:pt idx="1">
                  <c:v>Marketplace</c:v>
                </c:pt>
                <c:pt idx="2">
                  <c:v>Reseller</c:v>
                </c:pt>
                <c:pt idx="3">
                  <c:v>Direct Sales</c:v>
                </c:pt>
                <c:pt idx="4">
                  <c:v>Website</c:v>
                </c:pt>
              </c:strCache>
            </c:strRef>
          </c:cat>
          <c:val>
            <c:numRef>
              <c:f>analysis!$V$5:$V$9</c:f>
              <c:numCache>
                <c:formatCode>General</c:formatCode>
                <c:ptCount val="5"/>
                <c:pt idx="0">
                  <c:v>0.10220000000000001</c:v>
                </c:pt>
                <c:pt idx="1">
                  <c:v>0.1051</c:v>
                </c:pt>
                <c:pt idx="2">
                  <c:v>0.14000000000000001</c:v>
                </c:pt>
                <c:pt idx="3">
                  <c:v>0.19980000000000001</c:v>
                </c:pt>
                <c:pt idx="4">
                  <c:v>0.45299999999999996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0C-4AD0-AE22-39FB5EB27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What is</a:t>
            </a:r>
            <a:r>
              <a:rPr lang="en-US" sz="1200" baseline="0"/>
              <a:t> the Revenue by Channel?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analysis!$U$4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&gt;=1000000]&quot;$&quot;#.00,,&quot;M&quot;;[&gt;=1000]&quot;$&quot;#.0,&quot;k&quot;;&quot;$&quot;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analysis!$T$5:$T$9</c:f>
              <c:strCache>
                <c:ptCount val="5"/>
                <c:pt idx="0">
                  <c:v>Partner</c:v>
                </c:pt>
                <c:pt idx="1">
                  <c:v>Marketplace</c:v>
                </c:pt>
                <c:pt idx="2">
                  <c:v>Reseller</c:v>
                </c:pt>
                <c:pt idx="3">
                  <c:v>Direct Sales</c:v>
                </c:pt>
                <c:pt idx="4">
                  <c:v>Website</c:v>
                </c:pt>
              </c:strCache>
            </c:strRef>
          </c:cat>
          <c:val>
            <c:numRef>
              <c:f>analysis!$U$5:$U$9</c:f>
              <c:numCache>
                <c:formatCode>General</c:formatCode>
                <c:ptCount val="5"/>
                <c:pt idx="0">
                  <c:v>3252220.81</c:v>
                </c:pt>
                <c:pt idx="1">
                  <c:v>3344149.16</c:v>
                </c:pt>
                <c:pt idx="2">
                  <c:v>4455871</c:v>
                </c:pt>
                <c:pt idx="3">
                  <c:v>6359903.4900000002</c:v>
                </c:pt>
                <c:pt idx="4">
                  <c:v>14420137.02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C-4260-9F9F-48E7310F6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7006992"/>
        <c:axId val="1557007472"/>
      </c:barChart>
      <c:catAx>
        <c:axId val="155700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07472"/>
        <c:crosses val="autoZero"/>
        <c:auto val="1"/>
        <c:lblAlgn val="ctr"/>
        <c:lblOffset val="100"/>
        <c:noMultiLvlLbl val="0"/>
      </c:catAx>
      <c:valAx>
        <c:axId val="1557007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700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Revenue Generated by Discount Code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analysis!$AA$4</c:f>
              <c:strCache>
                <c:ptCount val="1"/>
                <c:pt idx="0">
                  <c:v>Revenue from Discount ($)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[&gt;=1000000]&quot;$&quot;#.00,,&quot;M&quot;;[&gt;=1000]&quot;$&quot;#.0,&quot;k&quot;;&quot;$&quot;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analysis!$Y$12:$Y$17</c:f>
              <c:strCache>
                <c:ptCount val="6"/>
                <c:pt idx="0">
                  <c:v>LOYALTY15</c:v>
                </c:pt>
                <c:pt idx="1">
                  <c:v>BFCM20</c:v>
                </c:pt>
                <c:pt idx="2">
                  <c:v>BFCM10</c:v>
                </c:pt>
                <c:pt idx="3">
                  <c:v>WELCOME10</c:v>
                </c:pt>
                <c:pt idx="4">
                  <c:v>SAVE5</c:v>
                </c:pt>
                <c:pt idx="5">
                  <c:v>NEWCUSTOMER10</c:v>
                </c:pt>
              </c:strCache>
            </c:strRef>
          </c:cat>
          <c:val>
            <c:numRef>
              <c:f>analysis!$AA$12:$AA$17</c:f>
              <c:numCache>
                <c:formatCode>_("$"* #,##0.00_);_("$"* \(#,##0.00\);_("$"* "-"??_);_(@_)</c:formatCode>
                <c:ptCount val="6"/>
                <c:pt idx="0">
                  <c:v>1185063.72</c:v>
                </c:pt>
                <c:pt idx="1">
                  <c:v>1519118.93</c:v>
                </c:pt>
                <c:pt idx="2">
                  <c:v>1575201.87</c:v>
                </c:pt>
                <c:pt idx="3">
                  <c:v>1732866.17</c:v>
                </c:pt>
                <c:pt idx="4">
                  <c:v>1745219.24</c:v>
                </c:pt>
                <c:pt idx="5">
                  <c:v>1768091.61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5-45D0-98D4-0D99CB65D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1708208"/>
        <c:axId val="801711568"/>
      </c:barChart>
      <c:barChart>
        <c:barDir val="bar"/>
        <c:grouping val="clustered"/>
        <c:varyColors val="0"/>
        <c:ser>
          <c:idx val="0"/>
          <c:order val="0"/>
          <c:tx>
            <c:strRef>
              <c:f>analysis!$Z$4</c:f>
              <c:strCache>
                <c:ptCount val="1"/>
                <c:pt idx="0">
                  <c:v>Discount Value ($)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&gt;=1000000]&quot;$&quot;#.00,,&quot;M&quot;;[&gt;=1000]&quot;$&quot;#.0,&quot;k&quot;;&quot;$&quot;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analysis!$Y$12:$Y$17</c:f>
              <c:strCache>
                <c:ptCount val="6"/>
                <c:pt idx="0">
                  <c:v>LOYALTY15</c:v>
                </c:pt>
                <c:pt idx="1">
                  <c:v>BFCM20</c:v>
                </c:pt>
                <c:pt idx="2">
                  <c:v>BFCM10</c:v>
                </c:pt>
                <c:pt idx="3">
                  <c:v>WELCOME10</c:v>
                </c:pt>
                <c:pt idx="4">
                  <c:v>SAVE5</c:v>
                </c:pt>
                <c:pt idx="5">
                  <c:v>NEWCUSTOMER10</c:v>
                </c:pt>
              </c:strCache>
            </c:strRef>
          </c:cat>
          <c:val>
            <c:numRef>
              <c:f>analysis!$Z$12:$Z$17</c:f>
              <c:numCache>
                <c:formatCode>_("$"* #,##0.00_);_("$"* \(#,##0.00\);_("$"* "-"??_);_(@_)</c:formatCode>
                <c:ptCount val="6"/>
                <c:pt idx="0">
                  <c:v>176723.7102</c:v>
                </c:pt>
                <c:pt idx="1">
                  <c:v>332322.36800000002</c:v>
                </c:pt>
                <c:pt idx="2">
                  <c:v>155515.60140000001</c:v>
                </c:pt>
                <c:pt idx="3">
                  <c:v>171242.8278</c:v>
                </c:pt>
                <c:pt idx="4">
                  <c:v>81865.463399999993</c:v>
                </c:pt>
                <c:pt idx="5">
                  <c:v>175422.66899999999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5-45D0-98D4-0D99CB65D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9150064"/>
        <c:axId val="949174064"/>
      </c:barChart>
      <c:catAx>
        <c:axId val="80170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711568"/>
        <c:crosses val="autoZero"/>
        <c:auto val="1"/>
        <c:lblAlgn val="ctr"/>
        <c:lblOffset val="100"/>
        <c:noMultiLvlLbl val="0"/>
      </c:catAx>
      <c:valAx>
        <c:axId val="801711568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801708208"/>
        <c:crosses val="autoZero"/>
        <c:crossBetween val="between"/>
      </c:valAx>
      <c:valAx>
        <c:axId val="949174064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949150064"/>
        <c:crosses val="max"/>
        <c:crossBetween val="between"/>
      </c:valAx>
      <c:catAx>
        <c:axId val="9491500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49174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What is the Customer Distribution by RFM Segment?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analysis!$AF$4</c:f>
              <c:strCache>
                <c:ptCount val="1"/>
                <c:pt idx="0">
                  <c:v>total_class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analysis!$AE$5:$AE$10</c:f>
              <c:strCache>
                <c:ptCount val="6"/>
                <c:pt idx="0">
                  <c:v>Champion</c:v>
                </c:pt>
                <c:pt idx="1">
                  <c:v>Loyal</c:v>
                </c:pt>
                <c:pt idx="2">
                  <c:v>New Customer</c:v>
                </c:pt>
                <c:pt idx="3">
                  <c:v>At Risk</c:v>
                </c:pt>
                <c:pt idx="4">
                  <c:v>Lost</c:v>
                </c:pt>
                <c:pt idx="5">
                  <c:v>Potential</c:v>
                </c:pt>
              </c:strCache>
            </c:strRef>
          </c:cat>
          <c:val>
            <c:numRef>
              <c:f>analysis!$AF$5:$AF$10</c:f>
              <c:numCache>
                <c:formatCode>General</c:formatCode>
                <c:ptCount val="6"/>
                <c:pt idx="0">
                  <c:v>779</c:v>
                </c:pt>
                <c:pt idx="1">
                  <c:v>809</c:v>
                </c:pt>
                <c:pt idx="2">
                  <c:v>512</c:v>
                </c:pt>
                <c:pt idx="3">
                  <c:v>812</c:v>
                </c:pt>
                <c:pt idx="4">
                  <c:v>788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F-4818-8ADB-BC31236B7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981648"/>
        <c:axId val="849957168"/>
      </c:barChart>
      <c:catAx>
        <c:axId val="84998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957168"/>
        <c:crosses val="autoZero"/>
        <c:auto val="1"/>
        <c:lblAlgn val="ctr"/>
        <c:lblOffset val="100"/>
        <c:noMultiLvlLbl val="0"/>
      </c:catAx>
      <c:valAx>
        <c:axId val="849957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998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Which Country</a:t>
            </a:r>
            <a:r>
              <a:rPr lang="en-US" sz="1200" baseline="0"/>
              <a:t> has the Highest Revenue?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&gt;=1000000]&quot;$&quot;#.00,,&quot;M&quot;;[&gt;=1000]&quot;$&quot;#.0,&quot;k&quot;;&quot;$&quot;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analysis!$D$5:$D$14</c:f>
              <c:strCache>
                <c:ptCount val="10"/>
                <c:pt idx="0">
                  <c:v>Brazil</c:v>
                </c:pt>
                <c:pt idx="1">
                  <c:v>Philippines</c:v>
                </c:pt>
                <c:pt idx="2">
                  <c:v>Spain</c:v>
                </c:pt>
                <c:pt idx="3">
                  <c:v>Netherlands</c:v>
                </c:pt>
                <c:pt idx="4">
                  <c:v>France</c:v>
                </c:pt>
                <c:pt idx="5">
                  <c:v>Germany</c:v>
                </c:pt>
                <c:pt idx="6">
                  <c:v>Australia</c:v>
                </c:pt>
                <c:pt idx="7">
                  <c:v>Canada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analysis!$E$5:$E$14</c:f>
              <c:numCache>
                <c:formatCode>General</c:formatCode>
                <c:ptCount val="10"/>
                <c:pt idx="0">
                  <c:v>1492809.25</c:v>
                </c:pt>
                <c:pt idx="1">
                  <c:v>1683034.95</c:v>
                </c:pt>
                <c:pt idx="2">
                  <c:v>1708087.78</c:v>
                </c:pt>
                <c:pt idx="3">
                  <c:v>1823466.84</c:v>
                </c:pt>
                <c:pt idx="4">
                  <c:v>2440865.25</c:v>
                </c:pt>
                <c:pt idx="5">
                  <c:v>2685114.73</c:v>
                </c:pt>
                <c:pt idx="6">
                  <c:v>3192846.14</c:v>
                </c:pt>
                <c:pt idx="7">
                  <c:v>3194218.95</c:v>
                </c:pt>
                <c:pt idx="8">
                  <c:v>5035009.0599999996</c:v>
                </c:pt>
                <c:pt idx="9">
                  <c:v>8576828.5299999993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A-4496-A110-C8A2C4110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1717328"/>
        <c:axId val="801717808"/>
      </c:barChart>
      <c:catAx>
        <c:axId val="80171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717808"/>
        <c:crosses val="autoZero"/>
        <c:auto val="1"/>
        <c:lblAlgn val="ctr"/>
        <c:lblOffset val="100"/>
        <c:noMultiLvlLbl val="0"/>
      </c:catAx>
      <c:valAx>
        <c:axId val="801717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71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What is the Average Order Value Per Month?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avg_value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analysis!$A$5:$A$16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analysis!$B$5:$B$16</c:f>
              <c:numCache>
                <c:formatCode>_("$"* #,##0.00_);_("$"* \(#,##0.00\);_("$"* "-"??_);_(@_)</c:formatCode>
                <c:ptCount val="12"/>
                <c:pt idx="0">
                  <c:v>633.03</c:v>
                </c:pt>
                <c:pt idx="1">
                  <c:v>647.58000000000004</c:v>
                </c:pt>
                <c:pt idx="2">
                  <c:v>696.11</c:v>
                </c:pt>
                <c:pt idx="3">
                  <c:v>696.08</c:v>
                </c:pt>
                <c:pt idx="4">
                  <c:v>629.16</c:v>
                </c:pt>
                <c:pt idx="5">
                  <c:v>678.77</c:v>
                </c:pt>
                <c:pt idx="6">
                  <c:v>671.4</c:v>
                </c:pt>
                <c:pt idx="7">
                  <c:v>640.73</c:v>
                </c:pt>
                <c:pt idx="8">
                  <c:v>668.37</c:v>
                </c:pt>
                <c:pt idx="9">
                  <c:v>671.51</c:v>
                </c:pt>
                <c:pt idx="10">
                  <c:v>679.64</c:v>
                </c:pt>
                <c:pt idx="11">
                  <c:v>660.2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16-491A-8E92-ED5B0A95B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698128"/>
        <c:axId val="801699568"/>
      </c:lineChart>
      <c:catAx>
        <c:axId val="8016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99568"/>
        <c:crosses val="autoZero"/>
        <c:auto val="1"/>
        <c:lblAlgn val="ctr"/>
        <c:lblOffset val="100"/>
        <c:noMultiLvlLbl val="0"/>
      </c:catAx>
      <c:valAx>
        <c:axId val="80169956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7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0</xdr:row>
      <xdr:rowOff>7620</xdr:rowOff>
    </xdr:from>
    <xdr:to>
      <xdr:col>24</xdr:col>
      <xdr:colOff>381000</xdr:colOff>
      <xdr:row>15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A013CD-AD5D-4496-8FD7-A20C99405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83820</xdr:colOff>
      <xdr:row>15</xdr:row>
      <xdr:rowOff>137160</xdr:rowOff>
    </xdr:from>
    <xdr:to>
      <xdr:col>24</xdr:col>
      <xdr:colOff>388620</xdr:colOff>
      <xdr:row>30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72F400-2E66-4716-B675-9DFA38965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0</xdr:row>
      <xdr:rowOff>0</xdr:rowOff>
    </xdr:from>
    <xdr:to>
      <xdr:col>32</xdr:col>
      <xdr:colOff>304800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A50C42-DB07-48A3-909B-AD8B153CA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16</xdr:row>
      <xdr:rowOff>0</xdr:rowOff>
    </xdr:from>
    <xdr:to>
      <xdr:col>32</xdr:col>
      <xdr:colOff>304800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C05106-5ED8-4F13-83B2-AC59E49BC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0</xdr:colOff>
      <xdr:row>0</xdr:row>
      <xdr:rowOff>0</xdr:rowOff>
    </xdr:from>
    <xdr:to>
      <xdr:col>43</xdr:col>
      <xdr:colOff>279661</xdr:colOff>
      <xdr:row>15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0111D6-F4E8-440E-B03A-575911CCD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0</xdr:colOff>
      <xdr:row>0</xdr:row>
      <xdr:rowOff>0</xdr:rowOff>
    </xdr:from>
    <xdr:to>
      <xdr:col>51</xdr:col>
      <xdr:colOff>304800</xdr:colOff>
      <xdr:row>15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549405-A3DD-469B-84FC-5B8A6DBA4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321925</xdr:colOff>
      <xdr:row>14</xdr:row>
      <xdr:rowOff>149886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E85D110-F3E9-4875-ADE4-6FCF85684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487680</xdr:colOff>
      <xdr:row>14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2A19A0E-DEB2-4570-8FF2-C40B9F89F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B0E2-1C27-41E2-9849-D6C2BAF00E46}">
  <dimension ref="A2:AF17"/>
  <sheetViews>
    <sheetView tabSelected="1" zoomScale="97" workbookViewId="0">
      <selection activeCell="AA24" sqref="AA24"/>
    </sheetView>
  </sheetViews>
  <sheetFormatPr defaultRowHeight="14.4" x14ac:dyDescent="0.3"/>
  <cols>
    <col min="1" max="1" width="7.6640625" bestFit="1" customWidth="1"/>
    <col min="2" max="2" width="9.88671875" bestFit="1" customWidth="1"/>
    <col min="4" max="4" width="14.44140625" bestFit="1" customWidth="1"/>
    <col min="5" max="5" width="13.21875" bestFit="1" customWidth="1"/>
    <col min="8" max="8" width="14.44140625" bestFit="1" customWidth="1"/>
    <col min="9" max="9" width="15.33203125" customWidth="1"/>
    <col min="11" max="11" width="7" bestFit="1" customWidth="1"/>
    <col min="12" max="12" width="13.21875" bestFit="1" customWidth="1"/>
    <col min="13" max="13" width="9.44140625" bestFit="1" customWidth="1"/>
    <col min="15" max="15" width="7" bestFit="1" customWidth="1"/>
    <col min="16" max="16" width="13.21875" bestFit="1" customWidth="1"/>
    <col min="17" max="17" width="11.5546875" bestFit="1" customWidth="1"/>
    <col min="18" max="18" width="15.6640625" bestFit="1" customWidth="1"/>
    <col min="20" max="20" width="11.5546875" bestFit="1" customWidth="1"/>
    <col min="21" max="21" width="12.33203125" bestFit="1" customWidth="1"/>
    <col min="22" max="22" width="16.6640625" bestFit="1" customWidth="1"/>
    <col min="23" max="23" width="8.88671875" customWidth="1"/>
    <col min="25" max="25" width="17.21875" bestFit="1" customWidth="1"/>
    <col min="26" max="26" width="17" bestFit="1" customWidth="1"/>
    <col min="27" max="27" width="24.5546875" bestFit="1" customWidth="1"/>
    <col min="28" max="28" width="35" bestFit="1" customWidth="1"/>
    <col min="29" max="29" width="10.88671875" bestFit="1" customWidth="1"/>
    <col min="31" max="31" width="14.33203125" bestFit="1" customWidth="1"/>
    <col min="32" max="32" width="10.109375" bestFit="1" customWidth="1"/>
  </cols>
  <sheetData>
    <row r="2" spans="1:32" ht="15" thickBot="1" x14ac:dyDescent="0.35"/>
    <row r="3" spans="1:32" s="1" customFormat="1" ht="15" thickBot="1" x14ac:dyDescent="0.35">
      <c r="A3" s="15" t="s">
        <v>68</v>
      </c>
      <c r="B3" s="16"/>
      <c r="D3" s="15" t="s">
        <v>69</v>
      </c>
      <c r="E3" s="16"/>
      <c r="H3" s="15" t="s">
        <v>70</v>
      </c>
      <c r="I3" s="16"/>
      <c r="K3" s="15" t="s">
        <v>71</v>
      </c>
      <c r="L3" s="17"/>
      <c r="M3" s="16"/>
      <c r="O3" s="15" t="s">
        <v>71</v>
      </c>
      <c r="P3" s="17"/>
      <c r="Q3" s="17"/>
      <c r="R3" s="16"/>
      <c r="T3" s="15" t="s">
        <v>72</v>
      </c>
      <c r="U3" s="17"/>
      <c r="V3" s="16"/>
      <c r="Y3" s="15" t="s">
        <v>73</v>
      </c>
      <c r="Z3" s="17"/>
      <c r="AA3" s="17"/>
      <c r="AB3" s="17"/>
      <c r="AC3" s="16"/>
      <c r="AE3" s="15" t="s">
        <v>74</v>
      </c>
      <c r="AF3" s="16"/>
    </row>
    <row r="4" spans="1:32" s="1" customFormat="1" x14ac:dyDescent="0.3">
      <c r="A4" s="4" t="s">
        <v>0</v>
      </c>
      <c r="B4" s="5" t="s">
        <v>1</v>
      </c>
      <c r="D4" s="4" t="s">
        <v>14</v>
      </c>
      <c r="E4" s="5" t="s">
        <v>15</v>
      </c>
      <c r="H4" s="4" t="s">
        <v>14</v>
      </c>
      <c r="I4" s="5" t="s">
        <v>26</v>
      </c>
      <c r="K4" s="4" t="s">
        <v>27</v>
      </c>
      <c r="L4" s="10" t="s">
        <v>15</v>
      </c>
      <c r="M4" s="5" t="s">
        <v>26</v>
      </c>
      <c r="O4" s="4" t="s">
        <v>27</v>
      </c>
      <c r="P4" s="10" t="s">
        <v>15</v>
      </c>
      <c r="Q4" s="10" t="s">
        <v>32</v>
      </c>
      <c r="R4" s="5" t="s">
        <v>33</v>
      </c>
      <c r="T4" s="4" t="s">
        <v>34</v>
      </c>
      <c r="U4" s="10" t="s">
        <v>35</v>
      </c>
      <c r="V4" s="5" t="s">
        <v>36</v>
      </c>
      <c r="Y4" s="4" t="s">
        <v>42</v>
      </c>
      <c r="Z4" s="10" t="s">
        <v>59</v>
      </c>
      <c r="AA4" s="10" t="s">
        <v>58</v>
      </c>
      <c r="AB4" s="10" t="s">
        <v>57</v>
      </c>
      <c r="AC4" s="5" t="s">
        <v>43</v>
      </c>
      <c r="AE4" s="4" t="s">
        <v>60</v>
      </c>
      <c r="AF4" s="5" t="s">
        <v>61</v>
      </c>
    </row>
    <row r="5" spans="1:32" x14ac:dyDescent="0.3">
      <c r="A5" s="6" t="s">
        <v>2</v>
      </c>
      <c r="B5" s="12">
        <v>633.03</v>
      </c>
      <c r="D5" s="6" t="s">
        <v>25</v>
      </c>
      <c r="E5" s="7">
        <v>1492809.25</v>
      </c>
      <c r="H5" s="6" t="s">
        <v>16</v>
      </c>
      <c r="I5" s="7">
        <v>26.94</v>
      </c>
      <c r="K5" s="6" t="s">
        <v>28</v>
      </c>
      <c r="L5" s="2">
        <v>13692543.66</v>
      </c>
      <c r="M5" s="7">
        <v>0.43009999999999998</v>
      </c>
      <c r="O5" s="6" t="s">
        <v>29</v>
      </c>
      <c r="P5" s="2">
        <v>11771047.48</v>
      </c>
      <c r="Q5" s="2">
        <v>19579</v>
      </c>
      <c r="R5" s="7">
        <v>601.21</v>
      </c>
      <c r="T5" s="6" t="s">
        <v>41</v>
      </c>
      <c r="U5" s="2">
        <v>3252220.81</v>
      </c>
      <c r="V5" s="7">
        <v>0.10220000000000001</v>
      </c>
      <c r="Y5" s="6" t="s">
        <v>49</v>
      </c>
      <c r="Z5" s="3">
        <v>14477.417600000001</v>
      </c>
      <c r="AA5" s="3">
        <v>65168.75</v>
      </c>
      <c r="AB5" s="3">
        <v>415.09</v>
      </c>
      <c r="AC5" s="7">
        <v>157</v>
      </c>
      <c r="AE5" s="6" t="s">
        <v>62</v>
      </c>
      <c r="AF5" s="7">
        <v>779</v>
      </c>
    </row>
    <row r="6" spans="1:32" x14ac:dyDescent="0.3">
      <c r="A6" s="6" t="s">
        <v>3</v>
      </c>
      <c r="B6" s="12">
        <v>647.58000000000004</v>
      </c>
      <c r="D6" s="6" t="s">
        <v>24</v>
      </c>
      <c r="E6" s="7">
        <v>1683034.95</v>
      </c>
      <c r="H6" s="6" t="s">
        <v>17</v>
      </c>
      <c r="I6" s="7">
        <v>15.82</v>
      </c>
      <c r="K6" s="6" t="s">
        <v>29</v>
      </c>
      <c r="L6" s="2">
        <v>11771047.48</v>
      </c>
      <c r="M6" s="7">
        <v>0.36979999999999996</v>
      </c>
      <c r="O6" s="6" t="s">
        <v>30</v>
      </c>
      <c r="P6" s="2">
        <v>4875881.09</v>
      </c>
      <c r="Q6" s="2">
        <v>7306</v>
      </c>
      <c r="R6" s="7">
        <v>667.38</v>
      </c>
      <c r="T6" s="6" t="s">
        <v>40</v>
      </c>
      <c r="U6" s="2">
        <v>3344149.16</v>
      </c>
      <c r="V6" s="7">
        <v>0.1051</v>
      </c>
      <c r="Y6" s="6" t="s">
        <v>45</v>
      </c>
      <c r="Z6" s="3">
        <v>20925.7372</v>
      </c>
      <c r="AA6" s="3">
        <v>94554.27</v>
      </c>
      <c r="AB6" s="3">
        <v>566.19000000000005</v>
      </c>
      <c r="AC6" s="7">
        <v>167</v>
      </c>
      <c r="AE6" s="6" t="s">
        <v>63</v>
      </c>
      <c r="AF6" s="7">
        <v>809</v>
      </c>
    </row>
    <row r="7" spans="1:32" x14ac:dyDescent="0.3">
      <c r="A7" s="6" t="s">
        <v>4</v>
      </c>
      <c r="B7" s="12">
        <v>696.11</v>
      </c>
      <c r="D7" s="6" t="s">
        <v>23</v>
      </c>
      <c r="E7" s="7">
        <v>1708087.78</v>
      </c>
      <c r="H7" s="6" t="s">
        <v>19</v>
      </c>
      <c r="I7" s="7">
        <v>10.029999999999999</v>
      </c>
      <c r="K7" s="6" t="s">
        <v>30</v>
      </c>
      <c r="L7" s="2">
        <v>4875881.09</v>
      </c>
      <c r="M7" s="7">
        <v>0.1532</v>
      </c>
      <c r="O7" s="6" t="s">
        <v>28</v>
      </c>
      <c r="P7" s="2">
        <v>13692543.66</v>
      </c>
      <c r="Q7" s="2">
        <v>19040</v>
      </c>
      <c r="R7" s="7">
        <v>719.15</v>
      </c>
      <c r="T7" s="6" t="s">
        <v>39</v>
      </c>
      <c r="U7" s="2">
        <v>4455871</v>
      </c>
      <c r="V7" s="7">
        <v>0.14000000000000001</v>
      </c>
      <c r="Y7" s="6" t="s">
        <v>53</v>
      </c>
      <c r="Z7" s="3">
        <v>9782.8513999999996</v>
      </c>
      <c r="AA7" s="3">
        <v>96483.92</v>
      </c>
      <c r="AB7" s="3">
        <v>630.61</v>
      </c>
      <c r="AC7" s="7">
        <v>153</v>
      </c>
      <c r="AE7" s="6" t="s">
        <v>64</v>
      </c>
      <c r="AF7" s="7">
        <v>512</v>
      </c>
    </row>
    <row r="8" spans="1:32" ht="15" thickBot="1" x14ac:dyDescent="0.35">
      <c r="A8" s="6" t="s">
        <v>5</v>
      </c>
      <c r="B8" s="12">
        <v>696.08</v>
      </c>
      <c r="D8" s="6" t="s">
        <v>22</v>
      </c>
      <c r="E8" s="7">
        <v>1823466.84</v>
      </c>
      <c r="H8" s="6" t="s">
        <v>18</v>
      </c>
      <c r="I8" s="7">
        <v>10.029999999999999</v>
      </c>
      <c r="K8" s="8" t="s">
        <v>31</v>
      </c>
      <c r="L8" s="11">
        <v>1492809.25</v>
      </c>
      <c r="M8" s="9">
        <v>4.6900000000000004E-2</v>
      </c>
      <c r="O8" s="8" t="s">
        <v>31</v>
      </c>
      <c r="P8" s="11">
        <v>1492809.25</v>
      </c>
      <c r="Q8" s="11">
        <v>2075</v>
      </c>
      <c r="R8" s="9">
        <v>719.43</v>
      </c>
      <c r="T8" s="6" t="s">
        <v>38</v>
      </c>
      <c r="U8" s="2">
        <v>6359903.4900000002</v>
      </c>
      <c r="V8" s="7">
        <v>0.19980000000000001</v>
      </c>
      <c r="Y8" s="6" t="s">
        <v>48</v>
      </c>
      <c r="Z8" s="3">
        <v>15612.4856</v>
      </c>
      <c r="AA8" s="3">
        <v>100502.27</v>
      </c>
      <c r="AB8" s="3">
        <v>601.80999999999995</v>
      </c>
      <c r="AC8" s="7">
        <v>167</v>
      </c>
      <c r="AE8" s="6" t="s">
        <v>67</v>
      </c>
      <c r="AF8" s="7">
        <v>812</v>
      </c>
    </row>
    <row r="9" spans="1:32" ht="15" thickBot="1" x14ac:dyDescent="0.35">
      <c r="A9" s="6" t="s">
        <v>6</v>
      </c>
      <c r="B9" s="12">
        <v>629.16</v>
      </c>
      <c r="D9" s="6" t="s">
        <v>21</v>
      </c>
      <c r="E9" s="7">
        <v>2440865.25</v>
      </c>
      <c r="H9" s="6" t="s">
        <v>20</v>
      </c>
      <c r="I9" s="7">
        <v>8.44</v>
      </c>
      <c r="T9" s="8" t="s">
        <v>37</v>
      </c>
      <c r="U9" s="11">
        <v>14420137.02</v>
      </c>
      <c r="V9" s="9">
        <v>0.45299999999999996</v>
      </c>
      <c r="Y9" s="6" t="s">
        <v>46</v>
      </c>
      <c r="Z9" s="3">
        <v>16366.834999999999</v>
      </c>
      <c r="AA9" s="3">
        <v>105339.25</v>
      </c>
      <c r="AB9" s="3">
        <v>731.52</v>
      </c>
      <c r="AC9" s="7">
        <v>144</v>
      </c>
      <c r="AE9" s="6" t="s">
        <v>66</v>
      </c>
      <c r="AF9" s="7">
        <v>788</v>
      </c>
    </row>
    <row r="10" spans="1:32" ht="15" thickBot="1" x14ac:dyDescent="0.35">
      <c r="A10" s="6" t="s">
        <v>7</v>
      </c>
      <c r="B10" s="12">
        <v>678.77</v>
      </c>
      <c r="D10" s="6" t="s">
        <v>20</v>
      </c>
      <c r="E10" s="7">
        <v>2685114.73</v>
      </c>
      <c r="H10" s="6" t="s">
        <v>21</v>
      </c>
      <c r="I10" s="7">
        <v>7.67</v>
      </c>
      <c r="Y10" s="6" t="s">
        <v>51</v>
      </c>
      <c r="Z10" s="3">
        <v>11721.703799999999</v>
      </c>
      <c r="AA10" s="3">
        <v>119223.16</v>
      </c>
      <c r="AB10" s="3">
        <v>794.82</v>
      </c>
      <c r="AC10" s="7">
        <v>150</v>
      </c>
      <c r="AE10" s="8" t="s">
        <v>65</v>
      </c>
      <c r="AF10" s="9">
        <v>300</v>
      </c>
    </row>
    <row r="11" spans="1:32" x14ac:dyDescent="0.3">
      <c r="A11" s="6" t="s">
        <v>8</v>
      </c>
      <c r="B11" s="12">
        <v>671.4</v>
      </c>
      <c r="D11" s="6" t="s">
        <v>19</v>
      </c>
      <c r="E11" s="7">
        <v>3192846.14</v>
      </c>
      <c r="H11" s="6" t="s">
        <v>22</v>
      </c>
      <c r="I11" s="7">
        <v>5.73</v>
      </c>
      <c r="Y11" s="6" t="s">
        <v>50</v>
      </c>
      <c r="Z11" s="3">
        <v>73753.89</v>
      </c>
      <c r="AA11" s="3">
        <v>417939</v>
      </c>
      <c r="AB11" s="3">
        <v>511.55</v>
      </c>
      <c r="AC11" s="7">
        <v>817</v>
      </c>
    </row>
    <row r="12" spans="1:32" x14ac:dyDescent="0.3">
      <c r="A12" s="6" t="s">
        <v>9</v>
      </c>
      <c r="B12" s="12">
        <v>640.73</v>
      </c>
      <c r="D12" s="6" t="s">
        <v>18</v>
      </c>
      <c r="E12" s="7">
        <v>3194218.95</v>
      </c>
      <c r="H12" s="6" t="s">
        <v>23</v>
      </c>
      <c r="I12" s="7">
        <v>5.37</v>
      </c>
      <c r="Y12" s="6" t="s">
        <v>47</v>
      </c>
      <c r="Z12" s="3">
        <v>176723.7102</v>
      </c>
      <c r="AA12" s="3">
        <v>1185063.72</v>
      </c>
      <c r="AB12" s="3">
        <v>651.49</v>
      </c>
      <c r="AC12" s="7">
        <v>1819</v>
      </c>
    </row>
    <row r="13" spans="1:32" x14ac:dyDescent="0.3">
      <c r="A13" s="6" t="s">
        <v>10</v>
      </c>
      <c r="B13" s="12">
        <v>668.37</v>
      </c>
      <c r="D13" s="6" t="s">
        <v>17</v>
      </c>
      <c r="E13" s="7">
        <v>5035009.0599999996</v>
      </c>
      <c r="H13" s="6" t="s">
        <v>24</v>
      </c>
      <c r="I13" s="7">
        <v>5.29</v>
      </c>
      <c r="Y13" s="6" t="s">
        <v>44</v>
      </c>
      <c r="Z13" s="3">
        <v>332322.36800000002</v>
      </c>
      <c r="AA13" s="3">
        <v>1519118.93</v>
      </c>
      <c r="AB13" s="3">
        <v>573.47</v>
      </c>
      <c r="AC13" s="7">
        <v>2649</v>
      </c>
    </row>
    <row r="14" spans="1:32" ht="15" thickBot="1" x14ac:dyDescent="0.35">
      <c r="A14" s="6" t="s">
        <v>11</v>
      </c>
      <c r="B14" s="12">
        <v>671.51</v>
      </c>
      <c r="D14" s="8" t="s">
        <v>16</v>
      </c>
      <c r="E14" s="9">
        <v>8576828.5299999993</v>
      </c>
      <c r="H14" s="8" t="s">
        <v>25</v>
      </c>
      <c r="I14" s="9">
        <v>4.6900000000000004</v>
      </c>
      <c r="Y14" s="6" t="s">
        <v>55</v>
      </c>
      <c r="Z14" s="3">
        <v>155515.60140000001</v>
      </c>
      <c r="AA14" s="3">
        <v>1575201.87</v>
      </c>
      <c r="AB14" s="3">
        <v>591.07000000000005</v>
      </c>
      <c r="AC14" s="7">
        <v>2665</v>
      </c>
    </row>
    <row r="15" spans="1:32" x14ac:dyDescent="0.3">
      <c r="A15" s="6" t="s">
        <v>12</v>
      </c>
      <c r="B15" s="12">
        <v>679.64</v>
      </c>
      <c r="Y15" s="6" t="s">
        <v>54</v>
      </c>
      <c r="Z15" s="3">
        <v>171242.8278</v>
      </c>
      <c r="AA15" s="3">
        <v>1732866.17</v>
      </c>
      <c r="AB15" s="3">
        <v>634.75</v>
      </c>
      <c r="AC15" s="7">
        <v>2730</v>
      </c>
    </row>
    <row r="16" spans="1:32" ht="15" thickBot="1" x14ac:dyDescent="0.35">
      <c r="A16" s="8" t="s">
        <v>13</v>
      </c>
      <c r="B16" s="13">
        <v>660.2</v>
      </c>
      <c r="Y16" s="6" t="s">
        <v>56</v>
      </c>
      <c r="Z16" s="3">
        <v>81865.463399999993</v>
      </c>
      <c r="AA16" s="3">
        <v>1745219.24</v>
      </c>
      <c r="AB16" s="3">
        <v>655.6</v>
      </c>
      <c r="AC16" s="7">
        <v>2662</v>
      </c>
    </row>
    <row r="17" spans="25:29" ht="15" thickBot="1" x14ac:dyDescent="0.35">
      <c r="Y17" s="8" t="s">
        <v>52</v>
      </c>
      <c r="Z17" s="14">
        <v>175422.66899999999</v>
      </c>
      <c r="AA17" s="14">
        <v>1768091.61</v>
      </c>
      <c r="AB17" s="14">
        <v>654.85</v>
      </c>
      <c r="AC17" s="9">
        <v>2700</v>
      </c>
    </row>
  </sheetData>
  <sortState xmlns:xlrd2="http://schemas.microsoft.com/office/spreadsheetml/2017/richdata2" ref="Y5:AB17">
    <sortCondition ref="AA5:AA17"/>
  </sortState>
  <mergeCells count="8">
    <mergeCell ref="AE3:AF3"/>
    <mergeCell ref="Y3:AC3"/>
    <mergeCell ref="T3:V3"/>
    <mergeCell ref="O3:R3"/>
    <mergeCell ref="K3:M3"/>
    <mergeCell ref="H3:I3"/>
    <mergeCell ref="D3:E3"/>
    <mergeCell ref="A3:B3"/>
  </mergeCells>
  <phoneticPr fontId="3" type="noConversion"/>
  <conditionalFormatting sqref="Z5:Z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:AA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:AB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:AC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39DD-F359-4A9B-BCA4-88AC26A20E63}">
  <dimension ref="A1"/>
  <sheetViews>
    <sheetView topLeftCell="AK1" workbookViewId="0">
      <selection activeCell="D18" sqref="D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Dayo ...</dc:creator>
  <cp:lastModifiedBy>Dayo ...</cp:lastModifiedBy>
  <dcterms:created xsi:type="dcterms:W3CDTF">2026-04-29T17:29:23Z</dcterms:created>
  <dcterms:modified xsi:type="dcterms:W3CDTF">2026-04-30T16:11:35Z</dcterms:modified>
</cp:coreProperties>
</file>